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visible" name="📋 Raw Responses" sheetId="2" r:id="rId5"/>
    <sheet state="visible" name="👥 Respondent Profiles" sheetId="3" r:id="rId6"/>
    <sheet state="visible" name="✅ Recommendations" sheetId="4" r:id="rId7"/>
    <sheet state="visible" name="📈 Score Chart" sheetId="5" r:id="rId8"/>
  </sheets>
  <definedNames/>
  <calcPr/>
  <extLst>
    <ext uri="GoogleSheetsCustomDataVersion2">
      <go:sheetsCustomData xmlns:go="http://customooxmlschemas.google.com/" r:id="rId9" roundtripDataChecksum="1YfjEmt4gOjEM8SKaAQMr1YCHC3Gm1V0h3DJ+bZrt8s="/>
    </ext>
  </extLst>
</workbook>
</file>

<file path=xl/sharedStrings.xml><?xml version="1.0" encoding="utf-8"?>
<sst xmlns="http://schemas.openxmlformats.org/spreadsheetml/2006/main" count="158" uniqueCount="127">
  <si>
    <t>EMPLOYEE ENGAGEMENT SURVEY — ANALYSIS DASHBOARD</t>
  </si>
  <si>
    <t>Human Resource Executive Startup  |  May 10, 2026  |  Prepared by: Okpabu Raphael, HR Assistant</t>
  </si>
  <si>
    <t>Survey Date</t>
  </si>
  <si>
    <t>Respondents</t>
  </si>
  <si>
    <t>Total Questions</t>
  </si>
  <si>
    <t>Overall Score</t>
  </si>
  <si>
    <t>May 10, 2026</t>
  </si>
  <si>
    <t>5 Employees</t>
  </si>
  <si>
    <t>13 Rated  +  2 Open</t>
  </si>
  <si>
    <t>3.8 / 5.0</t>
  </si>
  <si>
    <t>SECTION AVERAGE SCORES</t>
  </si>
  <si>
    <t>Section</t>
  </si>
  <si>
    <t>Theme</t>
  </si>
  <si>
    <t>EMP-01</t>
  </si>
  <si>
    <t>EMP-02</t>
  </si>
  <si>
    <t>EMP-03</t>
  </si>
  <si>
    <t>EMP-04</t>
  </si>
  <si>
    <t>EMP-05</t>
  </si>
  <si>
    <t>Avg Score</t>
  </si>
  <si>
    <t>Rating</t>
  </si>
  <si>
    <t>Section B</t>
  </si>
  <si>
    <t>Job Satisfaction</t>
  </si>
  <si>
    <t>Moderate</t>
  </si>
  <si>
    <t>Section C</t>
  </si>
  <si>
    <t>Work Environment &amp; Remote</t>
  </si>
  <si>
    <t>Strong</t>
  </si>
  <si>
    <t>Section D</t>
  </si>
  <si>
    <t>Leadership &amp; Communication</t>
  </si>
  <si>
    <t>Section E</t>
  </si>
  <si>
    <t>Growth &amp; Recognition</t>
  </si>
  <si>
    <t>Needs Attention</t>
  </si>
  <si>
    <t>OVERALL AVERAGE</t>
  </si>
  <si>
    <t>Overall</t>
  </si>
  <si>
    <t>SCORE KEY:  🟢 Strong = 4.0–5.0     🟡 Moderate = 3.0–3.9     🔴 Needs Attention = below 3.0</t>
  </si>
  <si>
    <t>RAW SURVEY RESPONSE DATA — All 5 Respondents</t>
  </si>
  <si>
    <t>Scale: 1 = Strongly Disagree   |   2 = Disagree   |   3 = Neutral   |   4 = Agree   |   5 = Strongly Agree</t>
  </si>
  <si>
    <t>Question</t>
  </si>
  <si>
    <t>Average</t>
  </si>
  <si>
    <t>SECTION B — JOB SATISFACTION</t>
  </si>
  <si>
    <t>Q4.  I am satisfied with my overall role and work.</t>
  </si>
  <si>
    <t>Q5.  My workload is manageable and reasonable.</t>
  </si>
  <si>
    <t>Q6.  My skills and talents are effectively utilised.</t>
  </si>
  <si>
    <t>SECTION C — WORK ENVIRONMENT &amp; REMOTE EXPERIENCE</t>
  </si>
  <si>
    <t>Q7.  I have the tools needed to work effectively from home.</t>
  </si>
  <si>
    <t>Q8.  I feel connected to my team despite working remotely.</t>
  </si>
  <si>
    <t>Q9.  The organisation supports a healthy work-life balance.</t>
  </si>
  <si>
    <t>SECTION D — LEADERSHIP &amp; COMMUNICATION</t>
  </si>
  <si>
    <t>Q10. My manager communicates clearly and keeps me informed.</t>
  </si>
  <si>
    <t>Q11. Leadership takes employee feedback seriously.</t>
  </si>
  <si>
    <t>SECTION E — GROWTH &amp; RECOGNITION</t>
  </si>
  <si>
    <t>Q12. I have access to adequate L&amp;D opportunities.</t>
  </si>
  <si>
    <t>Low</t>
  </si>
  <si>
    <t>Q13. My contributions and achievements are recognised.</t>
  </si>
  <si>
    <t>OVERALL AVERAGE SCORE (All Questions)</t>
  </si>
  <si>
    <t>Moderately Engaged</t>
  </si>
  <si>
    <t>RESPONDENT PROFILES — Anonymised Survey Participants</t>
  </si>
  <si>
    <t>ID</t>
  </si>
  <si>
    <t>Employment</t>
  </si>
  <si>
    <t>Tenure</t>
  </si>
  <si>
    <t>Department</t>
  </si>
  <si>
    <t>Q14 — Enjoys Most</t>
  </si>
  <si>
    <t>Q15 — Priority Improvement</t>
  </si>
  <si>
    <t>Full-time</t>
  </si>
  <si>
    <t>1–3 years</t>
  </si>
  <si>
    <t>HR &amp; People Ops</t>
  </si>
  <si>
    <t>Collaborative team culture and genuine sense of purpose in the work.</t>
  </si>
  <si>
    <t>More structured L&amp;D — access to courses and certifications relevant to HR.</t>
  </si>
  <si>
    <t>6m – 1 year</t>
  </si>
  <si>
    <t>Strategy &amp; Leadership</t>
  </si>
  <si>
    <t>Flexibility of remote work and the trust the organisation places in me.</t>
  </si>
  <si>
    <t>Clearer workload planning, especially during peak periods to avoid burnout.</t>
  </si>
  <si>
    <t>Contractor</t>
  </si>
  <si>
    <t>Less than 6m</t>
  </si>
  <si>
    <t>Finance &amp; Admin</t>
  </si>
  <si>
    <t>Autonomy in managing my own workflow and delivering results.</t>
  </si>
  <si>
    <t>More regular feedback loop from management — even brief monthly reviews help.</t>
  </si>
  <si>
    <t>3 years+</t>
  </si>
  <si>
    <t>Quality of leadership and clarity of organisational direction and vision.</t>
  </si>
  <si>
    <t>A formal recognition programme — public acknowledgement of team wins matters.</t>
  </si>
  <si>
    <t>Part-time</t>
  </si>
  <si>
    <t>Comms / Other</t>
  </si>
  <si>
    <t>The organisation's mission and the positive energy within the team.</t>
  </si>
  <si>
    <t>Better onboarding documentation — hard to find resources as a new joiner.</t>
  </si>
  <si>
    <t>HR RECOMMENDATIONS — Based on Survey Findings</t>
  </si>
  <si>
    <t>#</t>
  </si>
  <si>
    <t>Recommendation</t>
  </si>
  <si>
    <t>Details / Action Steps</t>
  </si>
  <si>
    <t>Owner</t>
  </si>
  <si>
    <t>Timeline</t>
  </si>
  <si>
    <t>Priority</t>
  </si>
  <si>
    <t>1</t>
  </si>
  <si>
    <t>Launch Structured L&amp;D Programme</t>
  </si>
  <si>
    <t>Partner with CIPM, SHRM, or Coursera. Allocate personal development budget per employee. Schedule quarterly learning reviews.</t>
  </si>
  <si>
    <t>HR Director</t>
  </si>
  <si>
    <t>Within 60 days</t>
  </si>
  <si>
    <t>HIGH</t>
  </si>
  <si>
    <t>2</t>
  </si>
  <si>
    <t>Introduce Monthly Recognition Programme</t>
  </si>
  <si>
    <t>Launch 'Star Performer of the Month'. Use internal Slack/Teams channels for public shoutouts. Link to performance reviews.</t>
  </si>
  <si>
    <t>HR Assistant</t>
  </si>
  <si>
    <t>Within 30 days</t>
  </si>
  <si>
    <t>3</t>
  </si>
  <si>
    <t>Implement Workload Review Check-ins</t>
  </si>
  <si>
    <t>Add workload review to monthly 1-on-1 agenda. Create a simple workload tracker. Flag burnout risks to HR proactively.</t>
  </si>
  <si>
    <t>Line Managers</t>
  </si>
  <si>
    <t>From June 2026</t>
  </si>
  <si>
    <t>MEDIUM</t>
  </si>
  <si>
    <t>4</t>
  </si>
  <si>
    <t>Develop Onboarding Resource Hub</t>
  </si>
  <si>
    <t>Create a centralised digital hub on the HRMS with policies, guides, FAQs, and team contacts. Review quarterly.</t>
  </si>
  <si>
    <t>Within 45 days</t>
  </si>
  <si>
    <t>5</t>
  </si>
  <si>
    <t>Schedule Follow-up Pulse Survey</t>
  </si>
  <si>
    <t>Conduct a 5-question pulse survey in November 2026 to track engagement score improvements and monitor action plan progress.</t>
  </si>
  <si>
    <t>November 2026</t>
  </si>
  <si>
    <t>LOW</t>
  </si>
  <si>
    <t>AVERAGE SCORES PER QUESTION</t>
  </si>
  <si>
    <t>Q4 — Satisfied with overall role</t>
  </si>
  <si>
    <t>Q5 — Workload manageable</t>
  </si>
  <si>
    <t>Q6 — Skills effectively utilised</t>
  </si>
  <si>
    <t>Q7 — Has tools for remote work</t>
  </si>
  <si>
    <t>Q8 — Feels connected to team</t>
  </si>
  <si>
    <t>Q9 — Work-life balance support</t>
  </si>
  <si>
    <t>Q10 — Manager communicates clearly</t>
  </si>
  <si>
    <t>Q11 — Leadership acts on feedback</t>
  </si>
  <si>
    <t>Q12 — Access to L&amp;D opportunities</t>
  </si>
  <si>
    <t>Q13 — Contributions recognised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</si>
</sst>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AAAAAA"/>
      <name val="Arial"/>
    </font>
    <font>
      <b/>
      <sz val="9.0"/>
      <color rgb="FF0D7377"/>
      <name val="Arial"/>
    </font>
    <font>
      <b/>
      <sz val="11.0"/>
      <color rgb="FF2D3748"/>
      <name val="Arial"/>
    </font>
    <font>
      <b/>
      <sz val="11.0"/>
      <color rgb="FF1E8449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rgb="FF0D7377"/>
      <name val="Arial"/>
    </font>
    <font>
      <sz val="10.0"/>
      <color rgb="FF2D3748"/>
      <name val="Arial"/>
    </font>
    <font>
      <b/>
      <sz val="10.0"/>
      <color rgb="FF2D3748"/>
      <name val="Arial"/>
    </font>
    <font>
      <b/>
      <sz val="10.0"/>
      <color rgb="FF9A6700"/>
      <name val="Arial"/>
    </font>
    <font>
      <b/>
      <sz val="10.0"/>
      <color rgb="FF1E8449"/>
      <name val="Arial"/>
    </font>
    <font>
      <b/>
      <sz val="10.0"/>
      <color rgb="FFC0392B"/>
      <name val="Arial"/>
    </font>
    <font>
      <i/>
      <sz val="9.0"/>
      <color rgb="FF6B7280"/>
      <name val="Arial"/>
    </font>
    <font>
      <b/>
      <sz val="13.0"/>
      <color rgb="FFFFFFFF"/>
      <name val="Arial"/>
    </font>
    <font>
      <b/>
      <sz val="10.0"/>
      <color rgb="FF1B2A4A"/>
      <name val="Arial"/>
    </font>
    <font>
      <b/>
      <sz val="12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2334F"/>
        <bgColor rgb="FF22334F"/>
      </patternFill>
    </fill>
    <fill>
      <patternFill patternType="solid">
        <fgColor rgb="FFEEF4FB"/>
        <bgColor rgb="FFEEF4FB"/>
      </patternFill>
    </fill>
    <fill>
      <patternFill patternType="solid">
        <fgColor rgb="FFD5F5E3"/>
        <bgColor rgb="FFD5F5E3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F9E7"/>
        <bgColor rgb="FFFEF9E7"/>
      </patternFill>
    </fill>
    <fill>
      <patternFill patternType="solid">
        <fgColor rgb="FFF7F9FC"/>
        <bgColor rgb="FFF7F9FC"/>
      </patternFill>
    </fill>
    <fill>
      <patternFill patternType="solid">
        <fgColor rgb="FFFADBD8"/>
        <bgColor rgb="FFFADBD8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D7377"/>
      </left>
      <right style="thin">
        <color rgb="FF0D7377"/>
      </right>
      <top style="thin">
        <color rgb="FF0D7377"/>
      </top>
      <bottom style="thin">
        <color rgb="FF0D7377"/>
      </bottom>
    </border>
    <border>
      <left style="thin">
        <color rgb="FFD1D9E6"/>
      </left>
      <right style="thin">
        <color rgb="FFD1D9E6"/>
      </right>
      <top style="thin">
        <color rgb="FFD1D9E6"/>
      </top>
      <bottom style="thin">
        <color rgb="FFD1D9E6"/>
      </bottom>
    </border>
    <border>
      <left style="thin">
        <color rgb="FF1B2A4A"/>
      </left>
      <top style="thin">
        <color rgb="FF1B2A4A"/>
      </top>
      <bottom style="thin">
        <color rgb="FF1B2A4A"/>
      </bottom>
    </border>
    <border>
      <right/>
      <top style="thin">
        <color rgb="FF1B2A4A"/>
      </top>
      <bottom style="thin">
        <color rgb="FF1B2A4A"/>
      </bottom>
    </border>
    <border>
      <left style="thin">
        <color rgb="FF0D7377"/>
      </left>
      <top style="thin">
        <color rgb="FF0D7377"/>
      </top>
      <bottom style="thin">
        <color rgb="FF0D7377"/>
      </bottom>
    </border>
    <border>
      <top style="thin">
        <color rgb="FF0D7377"/>
      </top>
      <bottom style="thin">
        <color rgb="FF0D7377"/>
      </bottom>
    </border>
    <border>
      <right/>
      <top style="thin">
        <color rgb="FF0D7377"/>
      </top>
      <bottom style="thin">
        <color rgb="FF0D7377"/>
      </bottom>
    </border>
    <border>
      <top style="thin">
        <color rgb="FF1B2A4A"/>
      </top>
      <bottom style="thin">
        <color rgb="FF1B2A4A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ont="1">
      <alignment horizontal="center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1" fillId="6" fontId="7" numFmtId="0" xfId="0" applyAlignment="1" applyBorder="1" applyFill="1" applyFont="1">
      <alignment horizontal="center" shrinkToFit="0" vertical="center" wrapText="0"/>
    </xf>
    <xf borderId="4" fillId="2" fontId="8" numFmtId="0" xfId="0" applyAlignment="1" applyBorder="1" applyFont="1">
      <alignment horizontal="center" shrinkToFit="0" vertical="center" wrapText="0"/>
    </xf>
    <xf borderId="5" fillId="7" fontId="9" numFmtId="0" xfId="0" applyAlignment="1" applyBorder="1" applyFill="1" applyFont="1">
      <alignment horizontal="left" shrinkToFit="0" vertical="center" wrapText="0"/>
    </xf>
    <xf borderId="5" fillId="7" fontId="10" numFmtId="0" xfId="0" applyAlignment="1" applyBorder="1" applyFont="1">
      <alignment horizontal="left" shrinkToFit="0" vertical="center" wrapText="0"/>
    </xf>
    <xf borderId="5" fillId="7" fontId="10" numFmtId="0" xfId="0" applyAlignment="1" applyBorder="1" applyFont="1">
      <alignment horizontal="center" shrinkToFit="0" vertical="center" wrapText="0"/>
    </xf>
    <xf borderId="5" fillId="7" fontId="11" numFmtId="0" xfId="0" applyAlignment="1" applyBorder="1" applyFont="1">
      <alignment horizontal="center" shrinkToFit="0" vertical="center" wrapText="0"/>
    </xf>
    <xf borderId="5" fillId="8" fontId="12" numFmtId="0" xfId="0" applyAlignment="1" applyBorder="1" applyFill="1" applyFont="1">
      <alignment horizontal="center" shrinkToFit="0" vertical="center" wrapText="0"/>
    </xf>
    <xf borderId="5" fillId="9" fontId="9" numFmtId="0" xfId="0" applyAlignment="1" applyBorder="1" applyFill="1" applyFont="1">
      <alignment horizontal="left" shrinkToFit="0" vertical="center" wrapText="0"/>
    </xf>
    <xf borderId="5" fillId="9" fontId="10" numFmtId="0" xfId="0" applyAlignment="1" applyBorder="1" applyFont="1">
      <alignment horizontal="left" shrinkToFit="0" vertical="center" wrapText="0"/>
    </xf>
    <xf borderId="5" fillId="9" fontId="10" numFmtId="0" xfId="0" applyAlignment="1" applyBorder="1" applyFont="1">
      <alignment horizontal="center" shrinkToFit="0" vertical="center" wrapText="0"/>
    </xf>
    <xf borderId="5" fillId="9" fontId="11" numFmtId="0" xfId="0" applyAlignment="1" applyBorder="1" applyFont="1">
      <alignment horizontal="center" shrinkToFit="0" vertical="center" wrapText="0"/>
    </xf>
    <xf borderId="5" fillId="5" fontId="13" numFmtId="0" xfId="0" applyAlignment="1" applyBorder="1" applyFont="1">
      <alignment horizontal="center" shrinkToFit="0" vertical="center" wrapText="0"/>
    </xf>
    <xf borderId="5" fillId="10" fontId="14" numFmtId="0" xfId="0" applyAlignment="1" applyBorder="1" applyFill="1" applyFont="1">
      <alignment horizontal="center" shrinkToFit="0" vertical="center" wrapText="0"/>
    </xf>
    <xf borderId="6" fillId="2" fontId="8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5" fillId="5" fontId="6" numFmtId="0" xfId="0" applyAlignment="1" applyBorder="1" applyFont="1">
      <alignment horizontal="center" shrinkToFit="0" vertical="center" wrapText="0"/>
    </xf>
    <xf borderId="1" fillId="9" fontId="15" numFmtId="0" xfId="0" applyAlignment="1" applyBorder="1" applyFont="1">
      <alignment horizontal="center" shrinkToFit="0" vertical="center" wrapText="0"/>
    </xf>
    <xf borderId="1" fillId="2" fontId="16" numFmtId="0" xfId="0" applyAlignment="1" applyBorder="1" applyFont="1">
      <alignment horizontal="center" shrinkToFit="0" vertical="center" wrapText="0"/>
    </xf>
    <xf borderId="1" fillId="4" fontId="15" numFmtId="0" xfId="0" applyAlignment="1" applyBorder="1" applyFont="1">
      <alignment horizontal="center" shrinkToFit="0" vertical="center" wrapText="0"/>
    </xf>
    <xf borderId="4" fillId="6" fontId="8" numFmtId="0" xfId="0" applyAlignment="1" applyBorder="1" applyFont="1">
      <alignment horizontal="center" shrinkToFit="0" vertical="center" wrapText="0"/>
    </xf>
    <xf borderId="8" fillId="6" fontId="8" numFmtId="0" xfId="0" applyAlignment="1" applyBorder="1" applyFont="1">
      <alignment horizontal="left" shrinkToFit="0" vertical="center" wrapText="0"/>
    </xf>
    <xf borderId="9" fillId="0" fontId="2" numFmtId="0" xfId="0" applyBorder="1" applyFont="1"/>
    <xf borderId="10" fillId="0" fontId="2" numFmtId="0" xfId="0" applyBorder="1" applyFont="1"/>
    <xf borderId="5" fillId="9" fontId="10" numFmtId="0" xfId="0" applyAlignment="1" applyBorder="1" applyFont="1">
      <alignment horizontal="left" shrinkToFit="0" vertical="center" wrapText="1"/>
    </xf>
    <xf borderId="5" fillId="7" fontId="10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5" fillId="9" fontId="9" numFmtId="0" xfId="0" applyAlignment="1" applyBorder="1" applyFont="1">
      <alignment horizontal="left" shrinkToFit="0" vertical="center" wrapText="1"/>
    </xf>
    <xf borderId="5" fillId="7" fontId="9" numFmtId="0" xfId="0" applyAlignment="1" applyBorder="1" applyFont="1">
      <alignment horizontal="left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5" fillId="9" fontId="17" numFmtId="0" xfId="0" applyAlignment="1" applyBorder="1" applyFont="1">
      <alignment horizontal="left" shrinkToFit="0" vertical="center" wrapText="1"/>
    </xf>
    <xf borderId="5" fillId="9" fontId="10" numFmtId="0" xfId="0" applyAlignment="1" applyBorder="1" applyFont="1">
      <alignment horizontal="center" shrinkToFit="0" vertical="center" wrapText="1"/>
    </xf>
    <xf borderId="5" fillId="10" fontId="14" numFmtId="0" xfId="0" applyAlignment="1" applyBorder="1" applyFont="1">
      <alignment horizontal="center" shrinkToFit="0" vertical="center" wrapText="1"/>
    </xf>
    <xf borderId="5" fillId="7" fontId="17" numFmtId="0" xfId="0" applyAlignment="1" applyBorder="1" applyFont="1">
      <alignment horizontal="left" shrinkToFit="0" vertical="center" wrapText="1"/>
    </xf>
    <xf borderId="5" fillId="7" fontId="10" numFmtId="0" xfId="0" applyAlignment="1" applyBorder="1" applyFont="1">
      <alignment horizontal="center" shrinkToFit="0" vertical="center" wrapText="1"/>
    </xf>
    <xf borderId="5" fillId="8" fontId="12" numFmtId="0" xfId="0" applyAlignment="1" applyBorder="1" applyFont="1">
      <alignment horizontal="center" shrinkToFit="0" vertical="center" wrapText="1"/>
    </xf>
    <xf borderId="5" fillId="5" fontId="13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Score per Question (out of 5.0)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Avg Score</c:v>
          </c:tx>
          <c:spPr>
            <a:solidFill>
              <a:srgbClr val="0D7377"/>
            </a:solidFill>
            <a:ln cmpd="sng">
              <a:solidFill>
                <a:srgbClr val="000000"/>
              </a:solidFill>
            </a:ln>
          </c:spPr>
          <c:cat>
            <c:strRef>
              <c:f>'📈 Score Chart'!$B$4:$B$13</c:f>
            </c:strRef>
          </c:cat>
          <c:val>
            <c:numRef>
              <c:f>'📈 Score Chart'!$C$4:$C$13</c:f>
              <c:numCache/>
            </c:numRef>
          </c:val>
        </c:ser>
        <c:axId val="1676710052"/>
        <c:axId val="1694880051"/>
      </c:barChart>
      <c:catAx>
        <c:axId val="16767100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Question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94880051"/>
      </c:catAx>
      <c:valAx>
        <c:axId val="1694880051"/>
        <c:scaling>
          <c:orientation val="minMax"/>
          <c:max val="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6710052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7553325" cy="5153025"/>
    <xdr:graphicFrame>
      <xdr:nvGraphicFramePr>
        <xdr:cNvPr id="9494683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27.29"/>
    <col customWidth="1" min="4" max="7" width="14.0"/>
    <col customWidth="1" min="8" max="8" width="14.57"/>
    <col customWidth="1" min="9" max="9" width="14.0"/>
    <col customWidth="1" min="10" max="10" width="16.71"/>
    <col customWidth="1" min="11" max="26" width="8.71"/>
  </cols>
  <sheetData>
    <row r="1" ht="36.0" customHeight="1">
      <c r="B1" s="1" t="s">
        <v>0</v>
      </c>
      <c r="C1" s="2"/>
      <c r="D1" s="2"/>
      <c r="E1" s="2"/>
      <c r="F1" s="2"/>
      <c r="G1" s="2"/>
      <c r="H1" s="2"/>
      <c r="I1" s="2"/>
      <c r="J1" s="3"/>
    </row>
    <row r="2" ht="19.5" customHeight="1">
      <c r="B2" s="4" t="s">
        <v>1</v>
      </c>
      <c r="C2" s="2"/>
      <c r="D2" s="2"/>
      <c r="E2" s="2"/>
      <c r="F2" s="2"/>
      <c r="G2" s="2"/>
      <c r="H2" s="2"/>
      <c r="I2" s="2"/>
      <c r="J2" s="3"/>
    </row>
    <row r="3" ht="7.5" customHeight="1"/>
    <row r="4" ht="18.0" customHeight="1">
      <c r="B4" s="5" t="s">
        <v>2</v>
      </c>
      <c r="C4" s="3"/>
      <c r="D4" s="5" t="s">
        <v>3</v>
      </c>
      <c r="E4" s="3"/>
      <c r="F4" s="5" t="s">
        <v>4</v>
      </c>
      <c r="G4" s="3"/>
      <c r="H4" s="6" t="s">
        <v>5</v>
      </c>
      <c r="I4" s="3"/>
    </row>
    <row r="5" ht="21.75" customHeight="1">
      <c r="B5" s="7" t="s">
        <v>6</v>
      </c>
      <c r="C5" s="3"/>
      <c r="D5" s="7" t="s">
        <v>7</v>
      </c>
      <c r="E5" s="3"/>
      <c r="F5" s="7" t="s">
        <v>8</v>
      </c>
      <c r="G5" s="3"/>
      <c r="H5" s="8" t="s">
        <v>9</v>
      </c>
      <c r="I5" s="3"/>
    </row>
    <row r="6" ht="9.75" customHeight="1"/>
    <row r="7" ht="21.75" customHeight="1">
      <c r="B7" s="9" t="s">
        <v>10</v>
      </c>
      <c r="C7" s="2"/>
      <c r="D7" s="2"/>
      <c r="E7" s="2"/>
      <c r="F7" s="2"/>
      <c r="G7" s="2"/>
      <c r="H7" s="2"/>
      <c r="I7" s="2"/>
      <c r="J7" s="3"/>
    </row>
    <row r="8" ht="19.5" customHeight="1">
      <c r="B8" s="10" t="s">
        <v>11</v>
      </c>
      <c r="C8" s="10" t="s">
        <v>12</v>
      </c>
      <c r="D8" s="10" t="s">
        <v>13</v>
      </c>
      <c r="E8" s="10" t="s">
        <v>14</v>
      </c>
      <c r="F8" s="10" t="s">
        <v>15</v>
      </c>
      <c r="G8" s="10" t="s">
        <v>16</v>
      </c>
      <c r="H8" s="10" t="s">
        <v>17</v>
      </c>
      <c r="I8" s="10" t="s">
        <v>18</v>
      </c>
      <c r="J8" s="10" t="s">
        <v>19</v>
      </c>
    </row>
    <row r="9" ht="19.5" customHeight="1">
      <c r="B9" s="11" t="s">
        <v>20</v>
      </c>
      <c r="C9" s="12" t="s">
        <v>21</v>
      </c>
      <c r="D9" s="13">
        <v>3.7</v>
      </c>
      <c r="E9" s="13">
        <v>3.0</v>
      </c>
      <c r="F9" s="13">
        <v>3.7</v>
      </c>
      <c r="G9" s="13">
        <v>4.7</v>
      </c>
      <c r="H9" s="13">
        <v>3.3</v>
      </c>
      <c r="I9" s="14">
        <v>3.7</v>
      </c>
      <c r="J9" s="15" t="s">
        <v>22</v>
      </c>
    </row>
    <row r="10" ht="19.5" customHeight="1">
      <c r="B10" s="16" t="s">
        <v>23</v>
      </c>
      <c r="C10" s="17" t="s">
        <v>24</v>
      </c>
      <c r="D10" s="18">
        <v>4.3</v>
      </c>
      <c r="E10" s="18">
        <v>3.7</v>
      </c>
      <c r="F10" s="18">
        <v>4.0</v>
      </c>
      <c r="G10" s="18">
        <v>4.7</v>
      </c>
      <c r="H10" s="18">
        <v>3.7</v>
      </c>
      <c r="I10" s="19">
        <v>4.1</v>
      </c>
      <c r="J10" s="20" t="s">
        <v>25</v>
      </c>
    </row>
    <row r="11" ht="19.5" customHeight="1">
      <c r="B11" s="11" t="s">
        <v>26</v>
      </c>
      <c r="C11" s="12" t="s">
        <v>27</v>
      </c>
      <c r="D11" s="13">
        <v>4.0</v>
      </c>
      <c r="E11" s="13">
        <v>3.5</v>
      </c>
      <c r="F11" s="13">
        <v>3.0</v>
      </c>
      <c r="G11" s="13">
        <v>4.5</v>
      </c>
      <c r="H11" s="13">
        <v>3.5</v>
      </c>
      <c r="I11" s="14">
        <v>3.7</v>
      </c>
      <c r="J11" s="15" t="s">
        <v>22</v>
      </c>
    </row>
    <row r="12" ht="19.5" customHeight="1">
      <c r="B12" s="16" t="s">
        <v>28</v>
      </c>
      <c r="C12" s="17" t="s">
        <v>29</v>
      </c>
      <c r="D12" s="18">
        <v>3.0</v>
      </c>
      <c r="E12" s="18">
        <v>2.5</v>
      </c>
      <c r="F12" s="18">
        <v>2.5</v>
      </c>
      <c r="G12" s="18">
        <v>4.0</v>
      </c>
      <c r="H12" s="18">
        <v>2.5</v>
      </c>
      <c r="I12" s="19">
        <v>2.9</v>
      </c>
      <c r="J12" s="21" t="s">
        <v>30</v>
      </c>
    </row>
    <row r="13" ht="9.75" customHeight="1"/>
    <row r="14" ht="21.75" customHeight="1">
      <c r="B14" s="22" t="s">
        <v>31</v>
      </c>
      <c r="C14" s="23"/>
      <c r="D14" s="20">
        <f t="shared" ref="D14:I14" si="1">AVERAGE(D9:D12)</f>
        <v>3.75</v>
      </c>
      <c r="E14" s="20">
        <f t="shared" si="1"/>
        <v>3.175</v>
      </c>
      <c r="F14" s="20">
        <f t="shared" si="1"/>
        <v>3.3</v>
      </c>
      <c r="G14" s="20">
        <f t="shared" si="1"/>
        <v>4.475</v>
      </c>
      <c r="H14" s="20">
        <f t="shared" si="1"/>
        <v>3.25</v>
      </c>
      <c r="I14" s="24">
        <f t="shared" si="1"/>
        <v>3.6</v>
      </c>
      <c r="J14" s="20" t="s">
        <v>32</v>
      </c>
    </row>
    <row r="16" ht="18.0" customHeight="1">
      <c r="B16" s="25" t="s">
        <v>33</v>
      </c>
      <c r="C16" s="2"/>
      <c r="D16" s="2"/>
      <c r="E16" s="2"/>
      <c r="F16" s="2"/>
      <c r="G16" s="2"/>
      <c r="H16" s="2"/>
      <c r="I16" s="2"/>
      <c r="J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5:E5"/>
    <mergeCell ref="F5:G5"/>
    <mergeCell ref="B14:C14"/>
    <mergeCell ref="B16:J16"/>
    <mergeCell ref="H5:I5"/>
    <mergeCell ref="B7:J7"/>
    <mergeCell ref="B1:J1"/>
    <mergeCell ref="B2:J2"/>
    <mergeCell ref="B4:C4"/>
    <mergeCell ref="D4:E4"/>
    <mergeCell ref="F4:G4"/>
    <mergeCell ref="H4:I4"/>
    <mergeCell ref="B5:C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7.29"/>
    <col customWidth="1" min="3" max="7" width="10.0"/>
    <col customWidth="1" min="8" max="8" width="12.0"/>
    <col customWidth="1" min="9" max="9" width="19.71"/>
    <col customWidth="1" min="10" max="26" width="8.71"/>
  </cols>
  <sheetData>
    <row r="1" ht="30.0" customHeight="1">
      <c r="B1" s="26" t="s">
        <v>34</v>
      </c>
      <c r="C1" s="2"/>
      <c r="D1" s="2"/>
      <c r="E1" s="2"/>
      <c r="F1" s="2"/>
      <c r="G1" s="2"/>
      <c r="H1" s="2"/>
      <c r="I1" s="3"/>
    </row>
    <row r="2" ht="15.75" customHeight="1">
      <c r="B2" s="27" t="s">
        <v>35</v>
      </c>
      <c r="C2" s="2"/>
      <c r="D2" s="2"/>
      <c r="E2" s="2"/>
      <c r="F2" s="2"/>
      <c r="G2" s="2"/>
      <c r="H2" s="2"/>
      <c r="I2" s="3"/>
    </row>
    <row r="3" ht="7.5" customHeight="1"/>
    <row r="4" ht="19.5" customHeight="1">
      <c r="B4" s="28" t="s">
        <v>36</v>
      </c>
      <c r="C4" s="28" t="s">
        <v>13</v>
      </c>
      <c r="D4" s="28" t="s">
        <v>14</v>
      </c>
      <c r="E4" s="28" t="s">
        <v>15</v>
      </c>
      <c r="F4" s="28" t="s">
        <v>16</v>
      </c>
      <c r="G4" s="28" t="s">
        <v>17</v>
      </c>
      <c r="H4" s="28" t="s">
        <v>37</v>
      </c>
      <c r="I4" s="28" t="s">
        <v>19</v>
      </c>
    </row>
    <row r="5" ht="19.5" customHeight="1">
      <c r="B5" s="29" t="s">
        <v>38</v>
      </c>
      <c r="C5" s="30"/>
      <c r="D5" s="30"/>
      <c r="E5" s="30"/>
      <c r="F5" s="30"/>
      <c r="G5" s="30"/>
      <c r="H5" s="30"/>
      <c r="I5" s="31"/>
    </row>
    <row r="6" ht="19.5" customHeight="1">
      <c r="B6" s="32" t="s">
        <v>39</v>
      </c>
      <c r="C6" s="18">
        <v>4.0</v>
      </c>
      <c r="D6" s="18">
        <v>4.0</v>
      </c>
      <c r="E6" s="18">
        <v>3.0</v>
      </c>
      <c r="F6" s="18">
        <v>5.0</v>
      </c>
      <c r="G6" s="18">
        <v>4.0</v>
      </c>
      <c r="H6" s="20">
        <f t="shared" ref="H6:H8" si="1">ROUND(AVERAGE(C6:G6),1)</f>
        <v>4</v>
      </c>
      <c r="I6" s="20" t="s">
        <v>25</v>
      </c>
    </row>
    <row r="7" ht="19.5" customHeight="1">
      <c r="B7" s="33" t="s">
        <v>40</v>
      </c>
      <c r="C7" s="13">
        <v>3.0</v>
      </c>
      <c r="D7" s="13">
        <v>2.0</v>
      </c>
      <c r="E7" s="13">
        <v>4.0</v>
      </c>
      <c r="F7" s="13">
        <v>4.0</v>
      </c>
      <c r="G7" s="13">
        <v>3.0</v>
      </c>
      <c r="H7" s="15">
        <f t="shared" si="1"/>
        <v>3.2</v>
      </c>
      <c r="I7" s="15" t="s">
        <v>22</v>
      </c>
    </row>
    <row r="8" ht="19.5" customHeight="1">
      <c r="B8" s="32" t="s">
        <v>41</v>
      </c>
      <c r="C8" s="18">
        <v>4.0</v>
      </c>
      <c r="D8" s="18">
        <v>3.0</v>
      </c>
      <c r="E8" s="18">
        <v>4.0</v>
      </c>
      <c r="F8" s="18">
        <v>5.0</v>
      </c>
      <c r="G8" s="18">
        <v>3.0</v>
      </c>
      <c r="H8" s="15">
        <f t="shared" si="1"/>
        <v>3.8</v>
      </c>
      <c r="I8" s="15" t="s">
        <v>22</v>
      </c>
    </row>
    <row r="9" ht="19.5" customHeight="1">
      <c r="B9" s="29" t="s">
        <v>42</v>
      </c>
      <c r="C9" s="30"/>
      <c r="D9" s="30"/>
      <c r="E9" s="30"/>
      <c r="F9" s="30"/>
      <c r="G9" s="30"/>
      <c r="H9" s="30"/>
      <c r="I9" s="31"/>
    </row>
    <row r="10" ht="19.5" customHeight="1">
      <c r="B10" s="32" t="s">
        <v>43</v>
      </c>
      <c r="C10" s="18">
        <v>5.0</v>
      </c>
      <c r="D10" s="18">
        <v>4.0</v>
      </c>
      <c r="E10" s="18">
        <v>5.0</v>
      </c>
      <c r="F10" s="18">
        <v>5.0</v>
      </c>
      <c r="G10" s="18">
        <v>4.0</v>
      </c>
      <c r="H10" s="20">
        <f t="shared" ref="H10:H12" si="2">ROUND(AVERAGE(C10:G10),1)</f>
        <v>4.6</v>
      </c>
      <c r="I10" s="20" t="s">
        <v>25</v>
      </c>
    </row>
    <row r="11" ht="19.5" customHeight="1">
      <c r="B11" s="33" t="s">
        <v>44</v>
      </c>
      <c r="C11" s="13">
        <v>4.0</v>
      </c>
      <c r="D11" s="13">
        <v>4.0</v>
      </c>
      <c r="E11" s="13">
        <v>3.0</v>
      </c>
      <c r="F11" s="13">
        <v>4.0</v>
      </c>
      <c r="G11" s="13">
        <v>3.0</v>
      </c>
      <c r="H11" s="15">
        <f t="shared" si="2"/>
        <v>3.6</v>
      </c>
      <c r="I11" s="15" t="s">
        <v>22</v>
      </c>
    </row>
    <row r="12" ht="19.5" customHeight="1">
      <c r="B12" s="32" t="s">
        <v>45</v>
      </c>
      <c r="C12" s="18">
        <v>4.0</v>
      </c>
      <c r="D12" s="18">
        <v>3.0</v>
      </c>
      <c r="E12" s="18">
        <v>4.0</v>
      </c>
      <c r="F12" s="18">
        <v>5.0</v>
      </c>
      <c r="G12" s="18">
        <v>4.0</v>
      </c>
      <c r="H12" s="20">
        <f t="shared" si="2"/>
        <v>4</v>
      </c>
      <c r="I12" s="20" t="s">
        <v>25</v>
      </c>
    </row>
    <row r="13" ht="19.5" customHeight="1">
      <c r="B13" s="29" t="s">
        <v>46</v>
      </c>
      <c r="C13" s="30"/>
      <c r="D13" s="30"/>
      <c r="E13" s="30"/>
      <c r="F13" s="30"/>
      <c r="G13" s="30"/>
      <c r="H13" s="30"/>
      <c r="I13" s="31"/>
    </row>
    <row r="14" ht="19.5" customHeight="1">
      <c r="B14" s="32" t="s">
        <v>47</v>
      </c>
      <c r="C14" s="18">
        <v>5.0</v>
      </c>
      <c r="D14" s="18">
        <v>4.0</v>
      </c>
      <c r="E14" s="18">
        <v>3.0</v>
      </c>
      <c r="F14" s="18">
        <v>5.0</v>
      </c>
      <c r="G14" s="18">
        <v>4.0</v>
      </c>
      <c r="H14" s="20">
        <f t="shared" ref="H14:H15" si="3">ROUND(AVERAGE(C14:G14),1)</f>
        <v>4.2</v>
      </c>
      <c r="I14" s="20" t="s">
        <v>25</v>
      </c>
    </row>
    <row r="15" ht="19.5" customHeight="1">
      <c r="B15" s="33" t="s">
        <v>48</v>
      </c>
      <c r="C15" s="13">
        <v>3.0</v>
      </c>
      <c r="D15" s="13">
        <v>3.0</v>
      </c>
      <c r="E15" s="13">
        <v>3.0</v>
      </c>
      <c r="F15" s="13">
        <v>4.0</v>
      </c>
      <c r="G15" s="13">
        <v>3.0</v>
      </c>
      <c r="H15" s="15">
        <f t="shared" si="3"/>
        <v>3.2</v>
      </c>
      <c r="I15" s="15" t="s">
        <v>22</v>
      </c>
    </row>
    <row r="16" ht="19.5" customHeight="1">
      <c r="B16" s="29" t="s">
        <v>49</v>
      </c>
      <c r="C16" s="30"/>
      <c r="D16" s="30"/>
      <c r="E16" s="30"/>
      <c r="F16" s="30"/>
      <c r="G16" s="30"/>
      <c r="H16" s="30"/>
      <c r="I16" s="31"/>
    </row>
    <row r="17" ht="19.5" customHeight="1">
      <c r="B17" s="33" t="s">
        <v>50</v>
      </c>
      <c r="C17" s="13">
        <v>3.0</v>
      </c>
      <c r="D17" s="13">
        <v>2.0</v>
      </c>
      <c r="E17" s="13">
        <v>3.0</v>
      </c>
      <c r="F17" s="13">
        <v>4.0</v>
      </c>
      <c r="G17" s="13">
        <v>2.0</v>
      </c>
      <c r="H17" s="21">
        <f t="shared" ref="H17:H18" si="4">ROUND(AVERAGE(C17:G17),1)</f>
        <v>2.8</v>
      </c>
      <c r="I17" s="21" t="s">
        <v>51</v>
      </c>
    </row>
    <row r="18" ht="19.5" customHeight="1">
      <c r="B18" s="32" t="s">
        <v>52</v>
      </c>
      <c r="C18" s="18">
        <v>3.0</v>
      </c>
      <c r="D18" s="18">
        <v>3.0</v>
      </c>
      <c r="E18" s="18">
        <v>2.0</v>
      </c>
      <c r="F18" s="18">
        <v>4.0</v>
      </c>
      <c r="G18" s="18">
        <v>3.0</v>
      </c>
      <c r="H18" s="15">
        <f t="shared" si="4"/>
        <v>3</v>
      </c>
      <c r="I18" s="15" t="s">
        <v>22</v>
      </c>
    </row>
    <row r="19" ht="21.75" customHeight="1">
      <c r="B19" s="22" t="s">
        <v>53</v>
      </c>
      <c r="C19" s="34"/>
      <c r="D19" s="34"/>
      <c r="E19" s="34"/>
      <c r="F19" s="34"/>
      <c r="G19" s="23"/>
      <c r="H19" s="24">
        <f>ROUND(AVERAGE(H6,H7,H8,H10,H11,H12,H14,H15,H17,H18),1)</f>
        <v>3.6</v>
      </c>
      <c r="I19" s="20" t="s">
        <v>54</v>
      </c>
    </row>
    <row r="20" ht="7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I1"/>
    <mergeCell ref="B2:I2"/>
    <mergeCell ref="B5:I5"/>
    <mergeCell ref="B9:I9"/>
    <mergeCell ref="B13:I13"/>
    <mergeCell ref="B16:I16"/>
    <mergeCell ref="B19:G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2.0"/>
    <col customWidth="1" min="3" max="4" width="16.0"/>
    <col customWidth="1" min="5" max="5" width="20.0"/>
    <col customWidth="1" min="6" max="6" width="30.0"/>
    <col customWidth="1" min="7" max="7" width="36.0"/>
    <col customWidth="1" min="8" max="26" width="8.71"/>
  </cols>
  <sheetData>
    <row r="1" ht="30.0" customHeight="1">
      <c r="B1" s="26" t="s">
        <v>55</v>
      </c>
      <c r="C1" s="2"/>
      <c r="D1" s="2"/>
      <c r="E1" s="2"/>
      <c r="F1" s="2"/>
      <c r="G1" s="3"/>
    </row>
    <row r="2" ht="9.75" customHeight="1"/>
    <row r="3" ht="19.5" customHeight="1">
      <c r="B3" s="28" t="s">
        <v>56</v>
      </c>
      <c r="C3" s="28" t="s">
        <v>57</v>
      </c>
      <c r="D3" s="28" t="s">
        <v>58</v>
      </c>
      <c r="E3" s="28" t="s">
        <v>59</v>
      </c>
      <c r="F3" s="28" t="s">
        <v>60</v>
      </c>
      <c r="G3" s="28" t="s">
        <v>61</v>
      </c>
    </row>
    <row r="4" ht="39.75" customHeight="1">
      <c r="B4" s="35" t="s">
        <v>13</v>
      </c>
      <c r="C4" s="32" t="s">
        <v>62</v>
      </c>
      <c r="D4" s="32" t="s">
        <v>63</v>
      </c>
      <c r="E4" s="32" t="s">
        <v>64</v>
      </c>
      <c r="F4" s="32" t="s">
        <v>65</v>
      </c>
      <c r="G4" s="32" t="s">
        <v>66</v>
      </c>
    </row>
    <row r="5" ht="39.75" customHeight="1">
      <c r="B5" s="36" t="s">
        <v>14</v>
      </c>
      <c r="C5" s="33" t="s">
        <v>62</v>
      </c>
      <c r="D5" s="33" t="s">
        <v>67</v>
      </c>
      <c r="E5" s="33" t="s">
        <v>68</v>
      </c>
      <c r="F5" s="33" t="s">
        <v>69</v>
      </c>
      <c r="G5" s="33" t="s">
        <v>70</v>
      </c>
    </row>
    <row r="6" ht="39.75" customHeight="1">
      <c r="B6" s="35" t="s">
        <v>15</v>
      </c>
      <c r="C6" s="32" t="s">
        <v>71</v>
      </c>
      <c r="D6" s="32" t="s">
        <v>72</v>
      </c>
      <c r="E6" s="32" t="s">
        <v>73</v>
      </c>
      <c r="F6" s="32" t="s">
        <v>74</v>
      </c>
      <c r="G6" s="32" t="s">
        <v>75</v>
      </c>
    </row>
    <row r="7" ht="39.75" customHeight="1">
      <c r="B7" s="36" t="s">
        <v>16</v>
      </c>
      <c r="C7" s="33" t="s">
        <v>62</v>
      </c>
      <c r="D7" s="33" t="s">
        <v>76</v>
      </c>
      <c r="E7" s="33" t="s">
        <v>64</v>
      </c>
      <c r="F7" s="33" t="s">
        <v>77</v>
      </c>
      <c r="G7" s="33" t="s">
        <v>78</v>
      </c>
    </row>
    <row r="8" ht="39.75" customHeight="1">
      <c r="B8" s="35" t="s">
        <v>17</v>
      </c>
      <c r="C8" s="32" t="s">
        <v>79</v>
      </c>
      <c r="D8" s="32" t="s">
        <v>67</v>
      </c>
      <c r="E8" s="32" t="s">
        <v>80</v>
      </c>
      <c r="F8" s="32" t="s">
        <v>81</v>
      </c>
      <c r="G8" s="32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42.0"/>
    <col customWidth="1" min="4" max="4" width="28.0"/>
    <col customWidth="1" min="5" max="6" width="18.0"/>
    <col customWidth="1" min="7" max="7" width="14.0"/>
    <col customWidth="1" min="8" max="26" width="8.71"/>
  </cols>
  <sheetData>
    <row r="1" ht="30.0" customHeight="1">
      <c r="B1" s="26" t="s">
        <v>83</v>
      </c>
      <c r="C1" s="2"/>
      <c r="D1" s="2"/>
      <c r="E1" s="2"/>
      <c r="F1" s="2"/>
      <c r="G1" s="3"/>
    </row>
    <row r="2" ht="9.75" customHeight="1"/>
    <row r="3" ht="19.5" customHeight="1">
      <c r="B3" s="28" t="s">
        <v>84</v>
      </c>
      <c r="C3" s="28" t="s">
        <v>85</v>
      </c>
      <c r="D3" s="28" t="s">
        <v>86</v>
      </c>
      <c r="E3" s="28" t="s">
        <v>87</v>
      </c>
      <c r="F3" s="28" t="s">
        <v>88</v>
      </c>
      <c r="G3" s="28" t="s">
        <v>89</v>
      </c>
    </row>
    <row r="4" ht="49.5" customHeight="1">
      <c r="B4" s="37" t="s">
        <v>90</v>
      </c>
      <c r="C4" s="38" t="s">
        <v>91</v>
      </c>
      <c r="D4" s="32" t="s">
        <v>92</v>
      </c>
      <c r="E4" s="39" t="s">
        <v>93</v>
      </c>
      <c r="F4" s="39" t="s">
        <v>94</v>
      </c>
      <c r="G4" s="40" t="s">
        <v>95</v>
      </c>
    </row>
    <row r="5" ht="49.5" customHeight="1">
      <c r="B5" s="37" t="s">
        <v>96</v>
      </c>
      <c r="C5" s="41" t="s">
        <v>97</v>
      </c>
      <c r="D5" s="33" t="s">
        <v>98</v>
      </c>
      <c r="E5" s="42" t="s">
        <v>99</v>
      </c>
      <c r="F5" s="42" t="s">
        <v>100</v>
      </c>
      <c r="G5" s="40" t="s">
        <v>95</v>
      </c>
    </row>
    <row r="6" ht="49.5" customHeight="1">
      <c r="B6" s="37" t="s">
        <v>101</v>
      </c>
      <c r="C6" s="38" t="s">
        <v>102</v>
      </c>
      <c r="D6" s="32" t="s">
        <v>103</v>
      </c>
      <c r="E6" s="39" t="s">
        <v>104</v>
      </c>
      <c r="F6" s="39" t="s">
        <v>105</v>
      </c>
      <c r="G6" s="43" t="s">
        <v>106</v>
      </c>
    </row>
    <row r="7" ht="49.5" customHeight="1">
      <c r="B7" s="37" t="s">
        <v>107</v>
      </c>
      <c r="C7" s="41" t="s">
        <v>108</v>
      </c>
      <c r="D7" s="33" t="s">
        <v>109</v>
      </c>
      <c r="E7" s="42" t="s">
        <v>99</v>
      </c>
      <c r="F7" s="42" t="s">
        <v>110</v>
      </c>
      <c r="G7" s="43" t="s">
        <v>106</v>
      </c>
    </row>
    <row r="8" ht="49.5" customHeight="1">
      <c r="B8" s="37" t="s">
        <v>111</v>
      </c>
      <c r="C8" s="38" t="s">
        <v>112</v>
      </c>
      <c r="D8" s="32" t="s">
        <v>113</v>
      </c>
      <c r="E8" s="39" t="s">
        <v>99</v>
      </c>
      <c r="F8" s="39" t="s">
        <v>114</v>
      </c>
      <c r="G8" s="44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3" width="14.0"/>
    <col customWidth="1" min="4" max="26" width="8.71"/>
  </cols>
  <sheetData>
    <row r="1" ht="27.75" customHeight="1">
      <c r="B1" s="45" t="s">
        <v>116</v>
      </c>
      <c r="C1" s="3"/>
    </row>
    <row r="2" ht="7.5" customHeight="1"/>
    <row r="3" ht="19.5" customHeight="1">
      <c r="B3" s="28" t="s">
        <v>36</v>
      </c>
      <c r="C3" s="28" t="s">
        <v>18</v>
      </c>
    </row>
    <row r="4" ht="19.5" customHeight="1">
      <c r="B4" s="17" t="s">
        <v>117</v>
      </c>
      <c r="C4" s="20">
        <v>4.0</v>
      </c>
    </row>
    <row r="5" ht="19.5" customHeight="1">
      <c r="B5" s="12" t="s">
        <v>118</v>
      </c>
      <c r="C5" s="15">
        <v>3.2</v>
      </c>
    </row>
    <row r="6" ht="19.5" customHeight="1">
      <c r="B6" s="17" t="s">
        <v>119</v>
      </c>
      <c r="C6" s="15">
        <v>3.8</v>
      </c>
    </row>
    <row r="7" ht="19.5" customHeight="1">
      <c r="B7" s="12" t="s">
        <v>120</v>
      </c>
      <c r="C7" s="20">
        <v>4.6</v>
      </c>
    </row>
    <row r="8" ht="19.5" customHeight="1">
      <c r="B8" s="17" t="s">
        <v>121</v>
      </c>
      <c r="C8" s="15">
        <v>3.6</v>
      </c>
    </row>
    <row r="9" ht="19.5" customHeight="1">
      <c r="B9" s="12" t="s">
        <v>122</v>
      </c>
      <c r="C9" s="20">
        <v>4.0</v>
      </c>
    </row>
    <row r="10" ht="19.5" customHeight="1">
      <c r="B10" s="17" t="s">
        <v>123</v>
      </c>
      <c r="C10" s="20">
        <v>4.2</v>
      </c>
    </row>
    <row r="11" ht="19.5" customHeight="1">
      <c r="B11" s="12" t="s">
        <v>124</v>
      </c>
      <c r="C11" s="15">
        <v>3.2</v>
      </c>
    </row>
    <row r="12" ht="19.5" customHeight="1">
      <c r="B12" s="17" t="s">
        <v>125</v>
      </c>
      <c r="C12" s="21">
        <v>2.8</v>
      </c>
    </row>
    <row r="13" ht="19.5" customHeight="1">
      <c r="B13" s="12" t="s">
        <v>126</v>
      </c>
      <c r="C13" s="15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2026-05-11T11:16:40Z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